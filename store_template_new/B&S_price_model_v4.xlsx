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orings" sheetId="1" r:id="rId4"/>
    <sheet state="visible" name="Moldings" sheetId="2" r:id="rId5"/>
    <sheet state="visible" name="Inventory" sheetId="3" r:id="rId6"/>
    <sheet state="visible" name="Config" sheetId="4" r:id="rId7"/>
    <sheet state="visible" name="DeliveryZones" sheetId="5" r:id="rId8"/>
    <sheet state="visible" name="OrderSimulator" sheetId="6" r:id="rId9"/>
  </sheets>
  <definedNames>
    <definedName name="TransportCostPerUnit">Config!$B$3</definedName>
    <definedName name="TaxRate">Config!$B$4</definedName>
    <definedName name="MonthlyStorageRent">Config!$B$2</definedName>
  </definedNames>
  <calcPr/>
  <extLst>
    <ext uri="GoogleSheetsCustomDataVersion2">
      <go:sheetsCustomData xmlns:go="http://customooxmlschemas.google.com/" r:id="rId10" roundtripDataChecksum="pGyl2WcYiD5pTtjv4Ajc6XZhPn+36daL8rbI7wyVMHc="/>
    </ext>
  </extLst>
</workbook>
</file>

<file path=xl/sharedStrings.xml><?xml version="1.0" encoding="utf-8"?>
<sst xmlns="http://schemas.openxmlformats.org/spreadsheetml/2006/main" count="301" uniqueCount="147">
  <si>
    <t>SKU</t>
  </si>
  <si>
    <t>name</t>
  </si>
  <si>
    <t>collection</t>
  </si>
  <si>
    <t>unitType</t>
  </si>
  <si>
    <t>sqftPerBox</t>
  </si>
  <si>
    <t>palletSqft</t>
  </si>
  <si>
    <t>baseProviderCostPerSqft</t>
  </si>
  <si>
    <t>BS-HEO-40-20-SN</t>
  </si>
  <si>
    <t xml:space="preserve">Waterproof LVP - Heemo </t>
  </si>
  <si>
    <t xml:space="preserve">Heemo </t>
  </si>
  <si>
    <t>sqft</t>
  </si>
  <si>
    <t>BS-HEO-40-20-HA</t>
  </si>
  <si>
    <t>BS-HEO-40-20-SA</t>
  </si>
  <si>
    <t>BS-HEO-40-20-PE</t>
  </si>
  <si>
    <t>BS-HEO-40-20-HI</t>
  </si>
  <si>
    <t>BS-HEO-40-20-CA</t>
  </si>
  <si>
    <t>BS-HEO-40-20-TI</t>
  </si>
  <si>
    <t>BS-HEO-40-20-DC</t>
  </si>
  <si>
    <t>BS-HEO-40-20-CO</t>
  </si>
  <si>
    <t>BS-OZZ-65-22-CA</t>
  </si>
  <si>
    <t xml:space="preserve">Waterproof LVP - Ozz </t>
  </si>
  <si>
    <t xml:space="preserve">Ozz </t>
  </si>
  <si>
    <t>BS-OZZ-65-22-CS</t>
  </si>
  <si>
    <t>BS-OZZ-65-22-HI</t>
  </si>
  <si>
    <t>BS-OZZ-65-22-NF</t>
  </si>
  <si>
    <t>BS-OZZ-65-22-NO</t>
  </si>
  <si>
    <t>BS-OZZ-65-22-SC</t>
  </si>
  <si>
    <t>BS-OZZ-65-22-DB</t>
  </si>
  <si>
    <t>BS-OZZ-65-22-SL</t>
  </si>
  <si>
    <t>BS-OZZ-65-22-BF</t>
  </si>
  <si>
    <t>BS-UAD-80-30-AL</t>
  </si>
  <si>
    <t xml:space="preserve">Waterproof LVP - Ultra Adisa </t>
  </si>
  <si>
    <t xml:space="preserve">Ultra Adisa </t>
  </si>
  <si>
    <t>BS-UAD-80-30-HO</t>
  </si>
  <si>
    <t>BS-UAD-80-30-HA</t>
  </si>
  <si>
    <t>BS-UAD-80-30-HR</t>
  </si>
  <si>
    <t>BS-UAD-80-30-MO</t>
  </si>
  <si>
    <t>BS-UAD-80-30-SS</t>
  </si>
  <si>
    <t>BS-UAD-80-30-CG</t>
  </si>
  <si>
    <t>BS-UAD-80-30-CO</t>
  </si>
  <si>
    <t>BS-UNO-55-22-RI</t>
  </si>
  <si>
    <t xml:space="preserve">Waterproof LVP - Ultra Noor </t>
  </si>
  <si>
    <t xml:space="preserve">Ultra Noor </t>
  </si>
  <si>
    <t>BS-UNO-55-22-NG</t>
  </si>
  <si>
    <t>BS-UNO-55-22-UH</t>
  </si>
  <si>
    <t>BS-UNO-55-22-TO</t>
  </si>
  <si>
    <t>BS-UNO-55-22-AW</t>
  </si>
  <si>
    <t>BS-UNO-55-22-CH</t>
  </si>
  <si>
    <t>BS-UNO-55-22-HR</t>
  </si>
  <si>
    <t>BS-UNO-55-22-CA</t>
  </si>
  <si>
    <t>BS-UNO-55-22-AI</t>
  </si>
  <si>
    <t>BS-UNO-55-22-NM</t>
  </si>
  <si>
    <t>BS-UNO-55-22-AC</t>
  </si>
  <si>
    <t>BS-UNO-55-22-PE</t>
  </si>
  <si>
    <t>BS-UNO-55-22-SH</t>
  </si>
  <si>
    <t>category</t>
  </si>
  <si>
    <t>lfPerPiece</t>
  </si>
  <si>
    <t>piecesPerPallet</t>
  </si>
  <si>
    <t>baseProviderCostPerLf</t>
  </si>
  <si>
    <t>G-CED-WHI-11/16X11/16X144</t>
  </si>
  <si>
    <t>Cedar, white primed</t>
  </si>
  <si>
    <t>General</t>
  </si>
  <si>
    <t>lf</t>
  </si>
  <si>
    <t>G-CED-WHI-11/16X11/16X96</t>
  </si>
  <si>
    <t>B-CED-WHI-1X4X144</t>
  </si>
  <si>
    <t>Cedar, white primed 1x4"</t>
  </si>
  <si>
    <t>Board</t>
  </si>
  <si>
    <t>CM-CED-WHI-1X4X144</t>
  </si>
  <si>
    <t>Crown Molding</t>
  </si>
  <si>
    <t>CM-CED-WHI-1X5X144</t>
  </si>
  <si>
    <t>Cedar, white primed 1x5"</t>
  </si>
  <si>
    <t>B-CED-WHI-1X6X144</t>
  </si>
  <si>
    <t>Cedar, white primed 1x6"</t>
  </si>
  <si>
    <t>B-CED-WHI-1X8X144</t>
  </si>
  <si>
    <t>Cedar, white primed 1x8"</t>
  </si>
  <si>
    <t>Cedar, white primed 1x6" (by 5-1/4" actual)</t>
  </si>
  <si>
    <t>Cedar, white primed 1x4" (by 3-1/4" actual)</t>
  </si>
  <si>
    <t>WI-CED-WHI-1X4X144</t>
  </si>
  <si>
    <t>Window/Door Casing</t>
  </si>
  <si>
    <t>RB-CED-WHI-2X4X144</t>
  </si>
  <si>
    <t>Cedar, white primed 2x4"</t>
  </si>
  <si>
    <t>RB3 Casing</t>
  </si>
  <si>
    <t>ST-PLYWOO-—X48</t>
  </si>
  <si>
    <t>Plywood white primed</t>
  </si>
  <si>
    <t>Stair Riser</t>
  </si>
  <si>
    <t>SH-CED-WHI-17/32”X7-1/4”X144</t>
  </si>
  <si>
    <t>Shiplap</t>
  </si>
  <si>
    <t>stockAvailable</t>
  </si>
  <si>
    <t>stockUnit</t>
  </si>
  <si>
    <t>mode</t>
  </si>
  <si>
    <t>leadTimeBackorderDays</t>
  </si>
  <si>
    <t>date_created</t>
  </si>
  <si>
    <t>last_purchase_date</t>
  </si>
  <si>
    <t>stock_and_backorder</t>
  </si>
  <si>
    <t>3-7</t>
  </si>
  <si>
    <t>2025-09-01</t>
  </si>
  <si>
    <t>2025-10-20</t>
  </si>
  <si>
    <t>parameter</t>
  </si>
  <si>
    <t>value</t>
  </si>
  <si>
    <t>MonthlyStorageRent</t>
  </si>
  <si>
    <t>TransportCostPerUnit</t>
  </si>
  <si>
    <t>TaxRate</t>
  </si>
  <si>
    <t>Zone</t>
  </si>
  <si>
    <t>Description</t>
  </si>
  <si>
    <t>BaseFeeFloor</t>
  </si>
  <si>
    <t>PerSqftFloor</t>
  </si>
  <si>
    <t>BaseFeeMolding</t>
  </si>
  <si>
    <t>PerLfMolding</t>
  </si>
  <si>
    <t>A</t>
  </si>
  <si>
    <t>Local (Meadow Woods / nearby)</t>
  </si>
  <si>
    <t>B</t>
  </si>
  <si>
    <t>Metro Orlando</t>
  </si>
  <si>
    <t>C</t>
  </si>
  <si>
    <t>Greater Florida</t>
  </si>
  <si>
    <t>ItemType</t>
  </si>
  <si>
    <t>ProductName</t>
  </si>
  <si>
    <t>Unit</t>
  </si>
  <si>
    <t>QtyRequested</t>
  </si>
  <si>
    <t>CapacityPerPalletBox</t>
  </si>
  <si>
    <t>PalletsOrBoxes</t>
  </si>
  <si>
    <t>ProviderCostPerUnit</t>
  </si>
  <si>
    <t>UnloadCostPerUnit</t>
  </si>
  <si>
    <t>StorageCostPerUnit</t>
  </si>
  <si>
    <t>BaseCostPerUnit</t>
  </si>
  <si>
    <t>MarginPct</t>
  </si>
  <si>
    <t>DiscountPct</t>
  </si>
  <si>
    <t>FinalUnitPrice</t>
  </si>
  <si>
    <t>MaterialsSubtotal</t>
  </si>
  <si>
    <t>InstallUnitPrice</t>
  </si>
  <si>
    <t>InstallSubtotal</t>
  </si>
  <si>
    <t>DeliveryEstimate</t>
  </si>
  <si>
    <t>ItemTotal</t>
  </si>
  <si>
    <t>StockModeApplied</t>
  </si>
  <si>
    <t>LfPerPiece</t>
  </si>
  <si>
    <t>PiecesPerPallet</t>
  </si>
  <si>
    <t>PiecesNeeded</t>
  </si>
  <si>
    <t>PalletsNeeded</t>
  </si>
  <si>
    <t>IncludeInstall</t>
  </si>
  <si>
    <t>OrderDate</t>
  </si>
  <si>
    <t>IncludeDelivery</t>
  </si>
  <si>
    <t>TaxAmount</t>
  </si>
  <si>
    <t>ItemTotalWithTax</t>
  </si>
  <si>
    <t>floor</t>
  </si>
  <si>
    <t>n</t>
  </si>
  <si>
    <t>2025-11-19</t>
  </si>
  <si>
    <t>Y</t>
  </si>
  <si>
    <t>molding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</si>
</sst>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3" numFmtId="164" xfId="0" applyAlignment="1" applyFont="1" applyNumberFormat="1">
      <alignment readingOrder="0" vertical="bottom"/>
    </xf>
    <xf borderId="0" fillId="0" fontId="2" numFmtId="0" xfId="0" applyAlignment="1" applyFont="1">
      <alignment horizontal="right" vertical="bottom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7.29"/>
    <col customWidth="1" min="3" max="3" width="16.29"/>
    <col customWidth="1" min="4" max="4" width="8.57"/>
    <col customWidth="1" min="5" max="5" width="8.71"/>
    <col customWidth="1" min="6" max="6" width="9.29"/>
    <col customWidth="1" min="7" max="7" width="22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1" t="s">
        <v>10</v>
      </c>
      <c r="E2" s="4">
        <v>23.9</v>
      </c>
      <c r="F2" s="4">
        <v>1194.8</v>
      </c>
      <c r="G2" s="5">
        <v>1.05</v>
      </c>
    </row>
    <row r="3">
      <c r="A3" s="2" t="s">
        <v>11</v>
      </c>
      <c r="B3" s="3" t="s">
        <v>8</v>
      </c>
      <c r="C3" s="3" t="s">
        <v>9</v>
      </c>
      <c r="D3" s="1" t="s">
        <v>10</v>
      </c>
      <c r="E3" s="4">
        <v>23.9</v>
      </c>
      <c r="F3" s="4">
        <v>1194.8</v>
      </c>
      <c r="G3" s="5">
        <v>1.05</v>
      </c>
    </row>
    <row r="4">
      <c r="A4" s="2" t="s">
        <v>12</v>
      </c>
      <c r="B4" s="3" t="s">
        <v>8</v>
      </c>
      <c r="C4" s="3" t="s">
        <v>9</v>
      </c>
      <c r="D4" s="1" t="s">
        <v>10</v>
      </c>
      <c r="E4" s="4">
        <v>23.9</v>
      </c>
      <c r="F4" s="4">
        <v>1194.8</v>
      </c>
      <c r="G4" s="5">
        <v>1.05</v>
      </c>
    </row>
    <row r="5">
      <c r="A5" s="2" t="s">
        <v>13</v>
      </c>
      <c r="B5" s="3" t="s">
        <v>8</v>
      </c>
      <c r="C5" s="3" t="s">
        <v>9</v>
      </c>
      <c r="D5" s="1" t="s">
        <v>10</v>
      </c>
      <c r="E5" s="4">
        <v>23.9</v>
      </c>
      <c r="F5" s="4">
        <v>1194.8</v>
      </c>
      <c r="G5" s="5">
        <v>1.05</v>
      </c>
    </row>
    <row r="6">
      <c r="A6" s="2" t="s">
        <v>14</v>
      </c>
      <c r="B6" s="3" t="s">
        <v>8</v>
      </c>
      <c r="C6" s="3" t="s">
        <v>9</v>
      </c>
      <c r="D6" s="1" t="s">
        <v>10</v>
      </c>
      <c r="E6" s="4">
        <v>23.9</v>
      </c>
      <c r="F6" s="4">
        <v>1194.8</v>
      </c>
      <c r="G6" s="5">
        <v>1.05</v>
      </c>
    </row>
    <row r="7">
      <c r="A7" s="2" t="s">
        <v>15</v>
      </c>
      <c r="B7" s="3" t="s">
        <v>8</v>
      </c>
      <c r="C7" s="3" t="s">
        <v>9</v>
      </c>
      <c r="D7" s="1" t="s">
        <v>10</v>
      </c>
      <c r="E7" s="4">
        <v>23.9</v>
      </c>
      <c r="F7" s="4">
        <v>1194.8</v>
      </c>
      <c r="G7" s="5">
        <v>1.05</v>
      </c>
    </row>
    <row r="8">
      <c r="A8" s="2" t="s">
        <v>16</v>
      </c>
      <c r="B8" s="3" t="s">
        <v>8</v>
      </c>
      <c r="C8" s="3" t="s">
        <v>9</v>
      </c>
      <c r="D8" s="1" t="s">
        <v>10</v>
      </c>
      <c r="E8" s="4">
        <v>23.9</v>
      </c>
      <c r="F8" s="4">
        <v>1194.8</v>
      </c>
      <c r="G8" s="5">
        <v>1.05</v>
      </c>
    </row>
    <row r="9">
      <c r="A9" s="2" t="s">
        <v>17</v>
      </c>
      <c r="B9" s="3" t="s">
        <v>8</v>
      </c>
      <c r="C9" s="3" t="s">
        <v>9</v>
      </c>
      <c r="D9" s="1" t="s">
        <v>10</v>
      </c>
      <c r="E9" s="4">
        <v>23.9</v>
      </c>
      <c r="F9" s="4">
        <v>1194.8</v>
      </c>
      <c r="G9" s="5">
        <v>1.05</v>
      </c>
    </row>
    <row r="10">
      <c r="A10" s="2" t="s">
        <v>18</v>
      </c>
      <c r="B10" s="3" t="s">
        <v>8</v>
      </c>
      <c r="C10" s="3" t="s">
        <v>9</v>
      </c>
      <c r="D10" s="1" t="s">
        <v>10</v>
      </c>
      <c r="E10" s="4">
        <v>23.9</v>
      </c>
      <c r="F10" s="4">
        <v>1194.8</v>
      </c>
      <c r="G10" s="5">
        <v>1.05</v>
      </c>
    </row>
    <row r="11">
      <c r="A11" s="2" t="s">
        <v>19</v>
      </c>
      <c r="B11" s="3" t="s">
        <v>20</v>
      </c>
      <c r="C11" s="3" t="s">
        <v>21</v>
      </c>
      <c r="D11" s="1" t="s">
        <v>10</v>
      </c>
      <c r="E11" s="4">
        <v>18.12</v>
      </c>
      <c r="F11" s="4">
        <v>1087.34</v>
      </c>
      <c r="G11" s="5">
        <v>1.39</v>
      </c>
    </row>
    <row r="12">
      <c r="A12" s="2" t="s">
        <v>22</v>
      </c>
      <c r="B12" s="3" t="s">
        <v>20</v>
      </c>
      <c r="C12" s="3" t="s">
        <v>21</v>
      </c>
      <c r="D12" s="1" t="s">
        <v>10</v>
      </c>
      <c r="E12" s="4">
        <v>18.12</v>
      </c>
      <c r="F12" s="4">
        <v>1087.34</v>
      </c>
      <c r="G12" s="5">
        <v>1.39</v>
      </c>
    </row>
    <row r="13">
      <c r="A13" s="2" t="s">
        <v>23</v>
      </c>
      <c r="B13" s="3" t="s">
        <v>20</v>
      </c>
      <c r="C13" s="3" t="s">
        <v>21</v>
      </c>
      <c r="D13" s="1" t="s">
        <v>10</v>
      </c>
      <c r="E13" s="4">
        <v>18.12</v>
      </c>
      <c r="F13" s="4">
        <v>1087.34</v>
      </c>
      <c r="G13" s="5">
        <v>1.39</v>
      </c>
    </row>
    <row r="14">
      <c r="A14" s="2" t="s">
        <v>24</v>
      </c>
      <c r="B14" s="3" t="s">
        <v>20</v>
      </c>
      <c r="C14" s="3" t="s">
        <v>21</v>
      </c>
      <c r="D14" s="1" t="s">
        <v>10</v>
      </c>
      <c r="E14" s="4">
        <v>18.12</v>
      </c>
      <c r="F14" s="4">
        <v>1087.34</v>
      </c>
      <c r="G14" s="5">
        <v>1.39</v>
      </c>
    </row>
    <row r="15">
      <c r="A15" s="2" t="s">
        <v>25</v>
      </c>
      <c r="B15" s="3" t="s">
        <v>20</v>
      </c>
      <c r="C15" s="3" t="s">
        <v>21</v>
      </c>
      <c r="D15" s="1" t="s">
        <v>10</v>
      </c>
      <c r="E15" s="4">
        <v>18.12</v>
      </c>
      <c r="F15" s="4">
        <v>1087.34</v>
      </c>
      <c r="G15" s="5">
        <v>1.39</v>
      </c>
    </row>
    <row r="16">
      <c r="A16" s="2" t="s">
        <v>26</v>
      </c>
      <c r="B16" s="3" t="s">
        <v>20</v>
      </c>
      <c r="C16" s="3" t="s">
        <v>21</v>
      </c>
      <c r="D16" s="1" t="s">
        <v>10</v>
      </c>
      <c r="E16" s="4">
        <v>18.12</v>
      </c>
      <c r="F16" s="4">
        <v>1087.34</v>
      </c>
      <c r="G16" s="5">
        <v>1.39</v>
      </c>
    </row>
    <row r="17">
      <c r="A17" s="2" t="s">
        <v>27</v>
      </c>
      <c r="B17" s="3" t="s">
        <v>20</v>
      </c>
      <c r="C17" s="3" t="s">
        <v>21</v>
      </c>
      <c r="D17" s="1" t="s">
        <v>10</v>
      </c>
      <c r="E17" s="4">
        <v>18.12</v>
      </c>
      <c r="F17" s="4">
        <v>1087.34</v>
      </c>
      <c r="G17" s="5">
        <v>1.39</v>
      </c>
    </row>
    <row r="18">
      <c r="A18" s="2" t="s">
        <v>28</v>
      </c>
      <c r="B18" s="3" t="s">
        <v>20</v>
      </c>
      <c r="C18" s="3" t="s">
        <v>21</v>
      </c>
      <c r="D18" s="1" t="s">
        <v>10</v>
      </c>
      <c r="E18" s="4">
        <v>18.12</v>
      </c>
      <c r="F18" s="4">
        <v>1087.34</v>
      </c>
      <c r="G18" s="5">
        <v>1.39</v>
      </c>
    </row>
    <row r="19">
      <c r="A19" s="2" t="s">
        <v>29</v>
      </c>
      <c r="B19" s="3" t="s">
        <v>20</v>
      </c>
      <c r="C19" s="3" t="s">
        <v>21</v>
      </c>
      <c r="D19" s="1" t="s">
        <v>10</v>
      </c>
      <c r="E19" s="4">
        <v>18.12</v>
      </c>
      <c r="F19" s="4">
        <v>1087.34</v>
      </c>
      <c r="G19" s="5">
        <v>1.39</v>
      </c>
    </row>
    <row r="20">
      <c r="A20" s="2" t="s">
        <v>30</v>
      </c>
      <c r="B20" s="3" t="s">
        <v>31</v>
      </c>
      <c r="C20" s="3" t="s">
        <v>32</v>
      </c>
      <c r="D20" s="1" t="s">
        <v>10</v>
      </c>
      <c r="E20" s="4">
        <v>26.5</v>
      </c>
      <c r="F20" s="4">
        <v>1166.0</v>
      </c>
      <c r="G20" s="5">
        <v>1.59</v>
      </c>
    </row>
    <row r="21" ht="15.75" customHeight="1">
      <c r="A21" s="2" t="s">
        <v>33</v>
      </c>
      <c r="B21" s="3" t="s">
        <v>31</v>
      </c>
      <c r="C21" s="3" t="s">
        <v>32</v>
      </c>
      <c r="D21" s="1" t="s">
        <v>10</v>
      </c>
      <c r="E21" s="4">
        <v>26.5</v>
      </c>
      <c r="F21" s="4">
        <v>1166.0</v>
      </c>
      <c r="G21" s="5">
        <v>1.59</v>
      </c>
    </row>
    <row r="22" ht="15.75" customHeight="1">
      <c r="A22" s="2" t="s">
        <v>34</v>
      </c>
      <c r="B22" s="3" t="s">
        <v>31</v>
      </c>
      <c r="C22" s="3" t="s">
        <v>32</v>
      </c>
      <c r="D22" s="1" t="s">
        <v>10</v>
      </c>
      <c r="E22" s="4">
        <v>26.5</v>
      </c>
      <c r="F22" s="4">
        <v>1166.0</v>
      </c>
      <c r="G22" s="5">
        <v>1.59</v>
      </c>
    </row>
    <row r="23" ht="15.75" customHeight="1">
      <c r="A23" s="2" t="s">
        <v>35</v>
      </c>
      <c r="B23" s="3" t="s">
        <v>31</v>
      </c>
      <c r="C23" s="3" t="s">
        <v>32</v>
      </c>
      <c r="D23" s="1" t="s">
        <v>10</v>
      </c>
      <c r="E23" s="4">
        <v>26.5</v>
      </c>
      <c r="F23" s="4">
        <v>1166.0</v>
      </c>
      <c r="G23" s="5">
        <v>1.59</v>
      </c>
    </row>
    <row r="24" ht="15.75" customHeight="1">
      <c r="A24" s="2" t="s">
        <v>36</v>
      </c>
      <c r="B24" s="3" t="s">
        <v>31</v>
      </c>
      <c r="C24" s="3" t="s">
        <v>32</v>
      </c>
      <c r="D24" s="1" t="s">
        <v>10</v>
      </c>
      <c r="E24" s="4">
        <v>26.5</v>
      </c>
      <c r="F24" s="4">
        <v>1166.0</v>
      </c>
      <c r="G24" s="5">
        <v>1.59</v>
      </c>
    </row>
    <row r="25" ht="15.75" customHeight="1">
      <c r="A25" s="2" t="s">
        <v>37</v>
      </c>
      <c r="B25" s="3" t="s">
        <v>31</v>
      </c>
      <c r="C25" s="3" t="s">
        <v>32</v>
      </c>
      <c r="D25" s="1" t="s">
        <v>10</v>
      </c>
      <c r="E25" s="4">
        <v>26.5</v>
      </c>
      <c r="F25" s="4">
        <v>1166.0</v>
      </c>
      <c r="G25" s="5">
        <v>1.59</v>
      </c>
    </row>
    <row r="26" ht="15.75" customHeight="1">
      <c r="A26" s="2" t="s">
        <v>38</v>
      </c>
      <c r="B26" s="3" t="s">
        <v>31</v>
      </c>
      <c r="C26" s="3" t="s">
        <v>32</v>
      </c>
      <c r="D26" s="1" t="s">
        <v>10</v>
      </c>
      <c r="E26" s="4">
        <v>26.5</v>
      </c>
      <c r="F26" s="4">
        <v>1166.0</v>
      </c>
      <c r="G26" s="5">
        <v>1.59</v>
      </c>
    </row>
    <row r="27" ht="15.75" customHeight="1">
      <c r="A27" s="2" t="s">
        <v>39</v>
      </c>
      <c r="B27" s="3" t="s">
        <v>31</v>
      </c>
      <c r="C27" s="3" t="s">
        <v>32</v>
      </c>
      <c r="D27" s="1" t="s">
        <v>10</v>
      </c>
      <c r="E27" s="4">
        <v>26.5</v>
      </c>
      <c r="F27" s="4">
        <v>1166.0</v>
      </c>
      <c r="G27" s="5">
        <v>1.59</v>
      </c>
    </row>
    <row r="28" ht="15.75" customHeight="1">
      <c r="A28" s="2" t="s">
        <v>40</v>
      </c>
      <c r="B28" s="3" t="s">
        <v>41</v>
      </c>
      <c r="C28" s="3" t="s">
        <v>42</v>
      </c>
      <c r="D28" s="1" t="s">
        <v>10</v>
      </c>
      <c r="E28" s="4">
        <v>33.71</v>
      </c>
      <c r="F28" s="4">
        <v>1685.53</v>
      </c>
      <c r="G28" s="5">
        <v>1.09</v>
      </c>
    </row>
    <row r="29" ht="15.75" customHeight="1">
      <c r="A29" s="2" t="s">
        <v>43</v>
      </c>
      <c r="B29" s="3" t="s">
        <v>41</v>
      </c>
      <c r="C29" s="3" t="s">
        <v>42</v>
      </c>
      <c r="D29" s="1" t="s">
        <v>10</v>
      </c>
      <c r="E29" s="4">
        <v>33.71</v>
      </c>
      <c r="F29" s="4">
        <v>1685.53</v>
      </c>
      <c r="G29" s="5">
        <v>1.09</v>
      </c>
    </row>
    <row r="30" ht="15.75" customHeight="1">
      <c r="A30" s="2" t="s">
        <v>44</v>
      </c>
      <c r="B30" s="3" t="s">
        <v>41</v>
      </c>
      <c r="C30" s="3" t="s">
        <v>42</v>
      </c>
      <c r="D30" s="1" t="s">
        <v>10</v>
      </c>
      <c r="E30" s="4">
        <v>33.71</v>
      </c>
      <c r="F30" s="4">
        <v>1685.53</v>
      </c>
      <c r="G30" s="5">
        <v>1.09</v>
      </c>
    </row>
    <row r="31" ht="15.75" customHeight="1">
      <c r="A31" s="2" t="s">
        <v>45</v>
      </c>
      <c r="B31" s="3" t="s">
        <v>41</v>
      </c>
      <c r="C31" s="3" t="s">
        <v>42</v>
      </c>
      <c r="D31" s="1" t="s">
        <v>10</v>
      </c>
      <c r="E31" s="4">
        <v>33.71</v>
      </c>
      <c r="F31" s="4">
        <v>1685.53</v>
      </c>
      <c r="G31" s="5">
        <v>1.09</v>
      </c>
    </row>
    <row r="32" ht="15.75" customHeight="1">
      <c r="A32" s="2" t="s">
        <v>46</v>
      </c>
      <c r="B32" s="3" t="s">
        <v>41</v>
      </c>
      <c r="C32" s="3" t="s">
        <v>42</v>
      </c>
      <c r="D32" s="1" t="s">
        <v>10</v>
      </c>
      <c r="E32" s="4">
        <v>33.71</v>
      </c>
      <c r="F32" s="4">
        <v>1685.53</v>
      </c>
      <c r="G32" s="5">
        <v>1.09</v>
      </c>
    </row>
    <row r="33" ht="15.75" customHeight="1">
      <c r="A33" s="2" t="s">
        <v>47</v>
      </c>
      <c r="B33" s="3" t="s">
        <v>41</v>
      </c>
      <c r="C33" s="3" t="s">
        <v>42</v>
      </c>
      <c r="D33" s="1" t="s">
        <v>10</v>
      </c>
      <c r="E33" s="4">
        <v>33.71</v>
      </c>
      <c r="F33" s="4">
        <v>1685.53</v>
      </c>
      <c r="G33" s="5">
        <v>1.09</v>
      </c>
    </row>
    <row r="34" ht="15.75" customHeight="1">
      <c r="A34" s="2" t="s">
        <v>48</v>
      </c>
      <c r="B34" s="3" t="s">
        <v>41</v>
      </c>
      <c r="C34" s="3" t="s">
        <v>42</v>
      </c>
      <c r="D34" s="1" t="s">
        <v>10</v>
      </c>
      <c r="E34" s="4">
        <v>33.71</v>
      </c>
      <c r="F34" s="4">
        <v>1685.53</v>
      </c>
      <c r="G34" s="5">
        <v>1.09</v>
      </c>
    </row>
    <row r="35" ht="15.75" customHeight="1">
      <c r="A35" s="2" t="s">
        <v>49</v>
      </c>
      <c r="B35" s="3" t="s">
        <v>41</v>
      </c>
      <c r="C35" s="3" t="s">
        <v>42</v>
      </c>
      <c r="D35" s="1" t="s">
        <v>10</v>
      </c>
      <c r="E35" s="4">
        <v>33.71</v>
      </c>
      <c r="F35" s="4">
        <v>1685.53</v>
      </c>
      <c r="G35" s="5">
        <v>1.09</v>
      </c>
    </row>
    <row r="36" ht="15.75" customHeight="1">
      <c r="A36" s="2" t="s">
        <v>50</v>
      </c>
      <c r="B36" s="3" t="s">
        <v>41</v>
      </c>
      <c r="C36" s="3" t="s">
        <v>42</v>
      </c>
      <c r="D36" s="1" t="s">
        <v>10</v>
      </c>
      <c r="E36" s="4">
        <v>33.71</v>
      </c>
      <c r="F36" s="4">
        <v>1685.53</v>
      </c>
      <c r="G36" s="5">
        <v>1.09</v>
      </c>
    </row>
    <row r="37" ht="15.75" customHeight="1">
      <c r="A37" s="2" t="s">
        <v>51</v>
      </c>
      <c r="B37" s="3" t="s">
        <v>41</v>
      </c>
      <c r="C37" s="3" t="s">
        <v>42</v>
      </c>
      <c r="D37" s="1" t="s">
        <v>10</v>
      </c>
      <c r="E37" s="4">
        <v>33.71</v>
      </c>
      <c r="F37" s="4">
        <v>1685.53</v>
      </c>
      <c r="G37" s="5">
        <v>1.09</v>
      </c>
    </row>
    <row r="38" ht="15.75" customHeight="1">
      <c r="A38" s="2" t="s">
        <v>52</v>
      </c>
      <c r="B38" s="3" t="s">
        <v>41</v>
      </c>
      <c r="C38" s="3" t="s">
        <v>42</v>
      </c>
      <c r="D38" s="1" t="s">
        <v>10</v>
      </c>
      <c r="E38" s="4">
        <v>33.71</v>
      </c>
      <c r="F38" s="4">
        <v>1685.53</v>
      </c>
      <c r="G38" s="5">
        <v>1.09</v>
      </c>
    </row>
    <row r="39" ht="15.75" customHeight="1">
      <c r="A39" s="2" t="s">
        <v>53</v>
      </c>
      <c r="B39" s="3" t="s">
        <v>41</v>
      </c>
      <c r="C39" s="3" t="s">
        <v>42</v>
      </c>
      <c r="D39" s="1" t="s">
        <v>10</v>
      </c>
      <c r="E39" s="4">
        <v>33.71</v>
      </c>
      <c r="F39" s="4">
        <v>1685.53</v>
      </c>
      <c r="G39" s="5">
        <v>1.09</v>
      </c>
    </row>
    <row r="40" ht="15.75" customHeight="1">
      <c r="A40" s="2" t="s">
        <v>54</v>
      </c>
      <c r="B40" s="3" t="s">
        <v>41</v>
      </c>
      <c r="C40" s="3" t="s">
        <v>42</v>
      </c>
      <c r="D40" s="1" t="s">
        <v>10</v>
      </c>
      <c r="E40" s="4">
        <v>33.71</v>
      </c>
      <c r="F40" s="4">
        <v>1685.53</v>
      </c>
      <c r="G40" s="5">
        <v>1.09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32.0"/>
    <col customWidth="1" min="3" max="3" width="21.86"/>
    <col customWidth="1" min="4" max="4" width="8.71"/>
    <col customWidth="1" min="5" max="5" width="9.57"/>
    <col customWidth="1" min="6" max="6" width="14.0"/>
    <col customWidth="1" min="7" max="7" width="20.29"/>
    <col customWidth="1" min="8" max="26" width="8.71"/>
  </cols>
  <sheetData>
    <row r="1">
      <c r="A1" s="1" t="s">
        <v>0</v>
      </c>
      <c r="B1" s="1" t="s">
        <v>1</v>
      </c>
      <c r="C1" s="1" t="s">
        <v>55</v>
      </c>
      <c r="D1" s="1" t="s">
        <v>3</v>
      </c>
      <c r="E1" s="1" t="s">
        <v>56</v>
      </c>
      <c r="F1" s="1" t="s">
        <v>57</v>
      </c>
      <c r="G1" s="1" t="s">
        <v>58</v>
      </c>
    </row>
    <row r="2">
      <c r="A2" s="2" t="s">
        <v>59</v>
      </c>
      <c r="B2" s="2" t="s">
        <v>60</v>
      </c>
      <c r="C2" s="2" t="s">
        <v>61</v>
      </c>
      <c r="D2" s="1" t="s">
        <v>62</v>
      </c>
      <c r="E2" s="6">
        <v>12.0</v>
      </c>
      <c r="F2" s="6">
        <v>3920.0</v>
      </c>
      <c r="G2" s="6">
        <v>0.15</v>
      </c>
    </row>
    <row r="3">
      <c r="A3" s="2" t="s">
        <v>63</v>
      </c>
      <c r="B3" s="2" t="s">
        <v>60</v>
      </c>
      <c r="C3" s="2" t="s">
        <v>61</v>
      </c>
      <c r="D3" s="1" t="s">
        <v>62</v>
      </c>
      <c r="E3" s="6">
        <v>8.0</v>
      </c>
      <c r="F3" s="6">
        <v>3080.0</v>
      </c>
      <c r="G3" s="6">
        <v>0.15</v>
      </c>
    </row>
    <row r="4">
      <c r="A4" s="2" t="s">
        <v>64</v>
      </c>
      <c r="B4" s="2" t="s">
        <v>65</v>
      </c>
      <c r="C4" s="2" t="s">
        <v>66</v>
      </c>
      <c r="D4" s="1" t="s">
        <v>62</v>
      </c>
      <c r="E4" s="6">
        <v>12.0</v>
      </c>
      <c r="F4" s="6">
        <v>900.0</v>
      </c>
      <c r="G4" s="6">
        <v>0.39</v>
      </c>
    </row>
    <row r="5">
      <c r="A5" s="2" t="s">
        <v>67</v>
      </c>
      <c r="B5" s="2" t="s">
        <v>65</v>
      </c>
      <c r="C5" s="2" t="s">
        <v>68</v>
      </c>
      <c r="D5" s="1" t="s">
        <v>62</v>
      </c>
      <c r="E5" s="6">
        <v>12.0</v>
      </c>
      <c r="F5" s="6">
        <v>1080.0</v>
      </c>
      <c r="G5" s="6">
        <v>0.39</v>
      </c>
    </row>
    <row r="6">
      <c r="A6" s="2" t="s">
        <v>69</v>
      </c>
      <c r="B6" s="2" t="s">
        <v>70</v>
      </c>
      <c r="C6" s="2" t="s">
        <v>68</v>
      </c>
      <c r="D6" s="1" t="s">
        <v>62</v>
      </c>
      <c r="E6" s="6">
        <v>12.0</v>
      </c>
      <c r="F6" s="6">
        <v>900.0</v>
      </c>
      <c r="G6" s="6">
        <v>0.49</v>
      </c>
    </row>
    <row r="7">
      <c r="A7" s="2" t="s">
        <v>71</v>
      </c>
      <c r="B7" s="2" t="s">
        <v>72</v>
      </c>
      <c r="C7" s="2" t="s">
        <v>66</v>
      </c>
      <c r="D7" s="1" t="s">
        <v>62</v>
      </c>
      <c r="E7" s="6">
        <v>12.0</v>
      </c>
      <c r="F7" s="6">
        <v>600.0</v>
      </c>
      <c r="G7" s="6">
        <v>0.59</v>
      </c>
    </row>
    <row r="8">
      <c r="A8" s="2" t="s">
        <v>73</v>
      </c>
      <c r="B8" s="2" t="s">
        <v>74</v>
      </c>
      <c r="C8" s="2" t="s">
        <v>66</v>
      </c>
      <c r="D8" s="1" t="s">
        <v>62</v>
      </c>
      <c r="E8" s="6">
        <v>12.0</v>
      </c>
      <c r="F8" s="6">
        <v>450.0</v>
      </c>
      <c r="G8" s="6">
        <v>0.79</v>
      </c>
    </row>
    <row r="9">
      <c r="A9" s="2" t="s">
        <v>71</v>
      </c>
      <c r="B9" s="2" t="s">
        <v>75</v>
      </c>
      <c r="C9" s="2" t="s">
        <v>66</v>
      </c>
      <c r="D9" s="1" t="s">
        <v>62</v>
      </c>
      <c r="E9" s="6">
        <v>12.0</v>
      </c>
      <c r="F9" s="6">
        <v>600.0</v>
      </c>
      <c r="G9" s="6">
        <v>0.59</v>
      </c>
    </row>
    <row r="10">
      <c r="A10" s="2" t="s">
        <v>64</v>
      </c>
      <c r="B10" s="2" t="s">
        <v>76</v>
      </c>
      <c r="C10" s="2" t="s">
        <v>66</v>
      </c>
      <c r="D10" s="1" t="s">
        <v>62</v>
      </c>
      <c r="E10" s="6">
        <v>12.0</v>
      </c>
      <c r="F10" s="6">
        <v>900.0</v>
      </c>
      <c r="G10" s="6">
        <v>0.39</v>
      </c>
    </row>
    <row r="11">
      <c r="A11" s="2" t="s">
        <v>77</v>
      </c>
      <c r="B11" s="2" t="s">
        <v>65</v>
      </c>
      <c r="C11" s="2" t="s">
        <v>78</v>
      </c>
      <c r="D11" s="1" t="s">
        <v>62</v>
      </c>
      <c r="E11" s="6">
        <v>12.0</v>
      </c>
      <c r="F11" s="6">
        <v>1014.0</v>
      </c>
      <c r="G11" s="6">
        <v>0.59</v>
      </c>
    </row>
    <row r="12">
      <c r="A12" s="2" t="s">
        <v>79</v>
      </c>
      <c r="B12" s="2" t="s">
        <v>80</v>
      </c>
      <c r="C12" s="2" t="s">
        <v>81</v>
      </c>
      <c r="D12" s="1" t="s">
        <v>62</v>
      </c>
      <c r="E12" s="6">
        <v>12.0</v>
      </c>
      <c r="F12" s="6">
        <v>550.0</v>
      </c>
      <c r="G12" s="6">
        <v>0.89</v>
      </c>
    </row>
    <row r="13">
      <c r="A13" s="2" t="s">
        <v>82</v>
      </c>
      <c r="B13" s="2" t="s">
        <v>83</v>
      </c>
      <c r="C13" s="2" t="s">
        <v>84</v>
      </c>
      <c r="D13" s="1" t="s">
        <v>62</v>
      </c>
      <c r="E13" s="6">
        <v>4.0</v>
      </c>
      <c r="F13" s="6">
        <v>5.0</v>
      </c>
      <c r="G13" s="6">
        <v>5.99</v>
      </c>
    </row>
    <row r="14">
      <c r="A14" s="2" t="s">
        <v>85</v>
      </c>
      <c r="B14" s="2" t="s">
        <v>60</v>
      </c>
      <c r="C14" s="2" t="s">
        <v>86</v>
      </c>
      <c r="D14" s="1" t="s">
        <v>62</v>
      </c>
      <c r="E14" s="6">
        <v>12.0</v>
      </c>
      <c r="F14" s="6">
        <v>492.0</v>
      </c>
      <c r="G14" s="6">
        <v>0.89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6.71"/>
    <col customWidth="1" min="3" max="3" width="13.14"/>
    <col customWidth="1" min="4" max="4" width="22.57"/>
    <col customWidth="1" min="5" max="5" width="8.71"/>
    <col customWidth="1" min="6" max="6" width="17.43"/>
    <col customWidth="1" min="7" max="7" width="25.43"/>
    <col customWidth="1" min="8" max="26" width="8.71"/>
  </cols>
  <sheetData>
    <row r="1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>
      <c r="A2" s="1" t="s">
        <v>7</v>
      </c>
      <c r="B2" s="1">
        <v>800.0</v>
      </c>
      <c r="C2" s="1" t="s">
        <v>10</v>
      </c>
      <c r="D2" s="1" t="s">
        <v>93</v>
      </c>
      <c r="E2" s="1" t="s">
        <v>94</v>
      </c>
      <c r="F2" s="1" t="s">
        <v>95</v>
      </c>
      <c r="G2" s="1" t="s">
        <v>96</v>
      </c>
    </row>
    <row r="3">
      <c r="A3" s="1" t="s">
        <v>59</v>
      </c>
      <c r="B3" s="1">
        <v>200.0</v>
      </c>
      <c r="C3" s="1" t="s">
        <v>62</v>
      </c>
      <c r="D3" s="1" t="s">
        <v>93</v>
      </c>
      <c r="E3" s="1" t="s">
        <v>94</v>
      </c>
      <c r="F3" s="1" t="s">
        <v>95</v>
      </c>
      <c r="G3" s="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97</v>
      </c>
      <c r="B1" s="1" t="s">
        <v>98</v>
      </c>
    </row>
    <row r="2">
      <c r="A2" s="1" t="s">
        <v>99</v>
      </c>
      <c r="B2" s="1">
        <v>250.0</v>
      </c>
    </row>
    <row r="3">
      <c r="A3" s="1" t="s">
        <v>100</v>
      </c>
      <c r="B3" s="1">
        <v>0.08</v>
      </c>
    </row>
    <row r="4">
      <c r="A4" s="1" t="s">
        <v>101</v>
      </c>
      <c r="B4" s="1">
        <v>0.07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86"/>
    <col customWidth="1" min="3" max="26" width="8.71"/>
  </cols>
  <sheetData>
    <row r="1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>
      <c r="A2" s="1" t="s">
        <v>108</v>
      </c>
      <c r="B2" s="1" t="s">
        <v>109</v>
      </c>
      <c r="C2" s="1">
        <v>80.0</v>
      </c>
      <c r="D2" s="1">
        <v>0.0</v>
      </c>
      <c r="E2" s="1">
        <v>60.0</v>
      </c>
      <c r="F2" s="1">
        <v>0.0</v>
      </c>
    </row>
    <row r="3">
      <c r="A3" s="1" t="s">
        <v>110</v>
      </c>
      <c r="B3" s="1" t="s">
        <v>111</v>
      </c>
      <c r="C3" s="1">
        <v>120.0</v>
      </c>
      <c r="D3" s="1">
        <v>0.0</v>
      </c>
      <c r="E3" s="1">
        <v>90.0</v>
      </c>
      <c r="F3" s="1">
        <v>0.0</v>
      </c>
    </row>
    <row r="4">
      <c r="A4" s="1" t="s">
        <v>112</v>
      </c>
      <c r="B4" s="1" t="s">
        <v>113</v>
      </c>
      <c r="C4" s="1">
        <v>160.0</v>
      </c>
      <c r="D4" s="1">
        <v>0.0</v>
      </c>
      <c r="E4" s="1">
        <v>120.0</v>
      </c>
      <c r="F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0"/>
    <col customWidth="1" min="3" max="3" width="22.71"/>
    <col customWidth="1" min="4" max="14" width="8.71"/>
    <col customWidth="1" min="15" max="15" width="13.0"/>
    <col customWidth="1" min="16" max="17" width="8.71"/>
    <col customWidth="1" min="18" max="18" width="13.29"/>
    <col customWidth="1" min="19" max="31" width="8.71"/>
  </cols>
  <sheetData>
    <row r="1">
      <c r="A1" s="1" t="s">
        <v>114</v>
      </c>
      <c r="B1" s="1" t="s">
        <v>0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100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102</v>
      </c>
      <c r="AA1" s="1" t="s">
        <v>137</v>
      </c>
      <c r="AB1" s="1" t="s">
        <v>138</v>
      </c>
      <c r="AC1" s="1" t="s">
        <v>139</v>
      </c>
      <c r="AD1" s="1" t="s">
        <v>140</v>
      </c>
      <c r="AE1" s="1" t="s">
        <v>141</v>
      </c>
    </row>
    <row r="2">
      <c r="A2" s="1" t="s">
        <v>142</v>
      </c>
      <c r="B2" s="1" t="s">
        <v>7</v>
      </c>
      <c r="C2" s="1" t="str">
        <f t="array" ref="C2">INDEX(Floorings!$B:$B, MATCH($B2, Floorings!$A:$A, 0))</f>
        <v>Waterproof LVP - Heemo </v>
      </c>
      <c r="D2" s="1" t="str">
        <f t="array" ref="D2">INDEX(Floorings!$D:$D, MATCH($B2, Floorings!$A:$A, 0))</f>
        <v>sqft</v>
      </c>
      <c r="E2" s="1">
        <v>1200.0</v>
      </c>
      <c r="F2" s="1">
        <f t="array" ref="F2">INDEX(Floorings!$F:$F, MATCH($B2, Floorings!$A:$A, 0))</f>
        <v>1194.8</v>
      </c>
      <c r="G2" s="1">
        <f>ROUNDUP(E2/F2, 0)</f>
        <v>2</v>
      </c>
      <c r="H2" s="7">
        <f t="array" ref="H2">INDEX(Floorings!$G:$G, MATCH($B2, Floorings!$A:$A, 0))</f>
        <v>1.05</v>
      </c>
      <c r="I2" s="1">
        <f>IF(G2&gt;=9,0.2,IF(G2&gt;=6,0.25,IF(G2&gt;=3,0.3,IF(G2&gt;=1,0.35,0))))</f>
        <v>0.35</v>
      </c>
      <c r="J2" s="1">
        <f t="array" ref="J2">IF($U2="stock",MAX(0, ROUNDUP((AB2 - INDEX(Inventory!$G:$G, MATCH($B2, Inventory!$A:$A, 0)))/30, 0) * MonthlyStorageRent / INDEX(Inventory!$B:$B, MATCH($B2, Inventory!$A:$A, 0))),0)</f>
        <v>0</v>
      </c>
      <c r="K2" s="1">
        <f>IF($U2="stock", TransportCostPerUnit, 0)</f>
        <v>0</v>
      </c>
      <c r="L2" s="7">
        <f t="shared" ref="L2:L3" si="1">H2+I2+J2+K2</f>
        <v>1.4</v>
      </c>
      <c r="M2" s="1">
        <v>0.35</v>
      </c>
      <c r="N2" s="1">
        <v>0.05</v>
      </c>
      <c r="O2" s="7">
        <f t="shared" ref="O2:O3" si="2">ROUND(L2 * (1 + M2) * (1 - N2), 2)</f>
        <v>1.8</v>
      </c>
      <c r="P2" s="1">
        <f t="shared" ref="P2:P3" si="3">O2 * E2</f>
        <v>2160</v>
      </c>
      <c r="Q2" s="4">
        <v>2.5</v>
      </c>
      <c r="R2" s="1">
        <f t="shared" ref="R2:R3" si="4">IF($AA2="Y", Q2 * E2, 0)</f>
        <v>0</v>
      </c>
      <c r="S2" s="1">
        <f t="array" ref="S2">IF($AC2&lt;&gt;"Y",0,IF($Z2="",0,IF($A2="floor",INDEX(DeliveryZones!$C:$C, MATCH(Z2, DeliveryZones!$A:$A, 0)) + INDEX(DeliveryZones!$D:$D, MATCH(Z2, DeliveryZones!$A:$A, 0))*E2,IF($A2="molding",INDEX(DeliveryZones!$E:$E, MATCH(Z2, DeliveryZones!$A:$A, 0)) + INDEX(DeliveryZones!$F:$F, MATCH(Z2, DeliveryZones!$A:$A, 0))*E2,0))))</f>
        <v>120</v>
      </c>
      <c r="T2" s="1">
        <f t="shared" ref="T2:T3" si="5">P2 + R2 + S2</f>
        <v>2280</v>
      </c>
      <c r="U2" s="1" t="str">
        <f t="array" ref="U2">IF(OR(INDEX(Inventory!$D:$D, MATCH($B2, Inventory!$A:$A, 0))="backorder_only",E2 &gt; INDEX(Inventory!$B:$B, MATCH($B2, Inventory!$A:$A, 0))),"backorder","stock")</f>
        <v>backorder</v>
      </c>
      <c r="Z2" s="1" t="s">
        <v>110</v>
      </c>
      <c r="AA2" s="4" t="s">
        <v>143</v>
      </c>
      <c r="AB2" s="1" t="s">
        <v>144</v>
      </c>
      <c r="AC2" s="1" t="s">
        <v>145</v>
      </c>
      <c r="AD2" s="1">
        <f>ROUND(T2 * TaxRate, 2)</f>
        <v>159.6</v>
      </c>
      <c r="AE2" s="1">
        <f t="shared" ref="AE2:AE3" si="6">T2 + AD2</f>
        <v>2439.6</v>
      </c>
    </row>
    <row r="3">
      <c r="A3" s="1" t="s">
        <v>146</v>
      </c>
      <c r="B3" s="1" t="s">
        <v>59</v>
      </c>
      <c r="C3" s="1" t="str">
        <f t="array" ref="C3">INDEX(Moldings!$B:$B, MATCH($B3, Moldings!$A:$A, 0))</f>
        <v>Cedar, white primed</v>
      </c>
      <c r="D3" s="1" t="str">
        <f t="array" ref="D3">INDEX(Moldings!$D:$D, MATCH($B3, Moldings!$A:$A, 0))</f>
        <v>lf</v>
      </c>
      <c r="E3" s="1">
        <v>300.0</v>
      </c>
      <c r="G3" s="1">
        <f>Y3</f>
        <v>1</v>
      </c>
      <c r="H3" s="1">
        <f t="array" ref="H3">INDEX(Moldings!$G:$G, MATCH($B3, Moldings!$A:$A, 0))</f>
        <v>0.15</v>
      </c>
      <c r="I3" s="1">
        <f>IF(Y3&gt;=9,0.2,IF(Y3&gt;=6,0.25,IF(Y3&gt;=3,0.3,IF(Y3&gt;=1,0.35,0))))</f>
        <v>0.35</v>
      </c>
      <c r="J3" s="1">
        <f t="array" ref="J3">IF($U3="stock",MAX(0, ROUNDUP((AB3 - INDEX(Inventory!$G:$G, MATCH($B3, Inventory!$A:$A, 0)))/30, 0) * MonthlyStorageRent / INDEX(Inventory!$B:$B, MATCH($B3, Inventory!$A:$A, 0))),0)</f>
        <v>0</v>
      </c>
      <c r="K3" s="1">
        <f>IF($U3="stock", TransportCostPerUnit, 0)</f>
        <v>0</v>
      </c>
      <c r="L3" s="1">
        <f t="shared" si="1"/>
        <v>0.5</v>
      </c>
      <c r="M3" s="1">
        <v>0.35</v>
      </c>
      <c r="N3" s="1">
        <v>0.05</v>
      </c>
      <c r="O3" s="1">
        <f t="shared" si="2"/>
        <v>0.64</v>
      </c>
      <c r="P3" s="1">
        <f t="shared" si="3"/>
        <v>192</v>
      </c>
      <c r="Q3" s="4">
        <v>1.25</v>
      </c>
      <c r="R3" s="1">
        <f t="shared" si="4"/>
        <v>375</v>
      </c>
      <c r="S3" s="1">
        <f t="array" ref="S3">IF($AC3&lt;&gt;"Y",0,IF($Z3="",0,IF($A3="floor",INDEX(DeliveryZones!$C:$C, MATCH(Z3, DeliveryZones!$A:$A, 0)) + INDEX(DeliveryZones!$D:$D, MATCH(Z3, DeliveryZones!$A:$A, 0))*E3,IF($A3="molding",INDEX(DeliveryZones!$E:$E, MATCH(Z3, DeliveryZones!$A:$A, 0)) + INDEX(DeliveryZones!$F:$F, MATCH(Z3, DeliveryZones!$A:$A, 0))*E3,0))))</f>
        <v>90</v>
      </c>
      <c r="T3" s="1">
        <f t="shared" si="5"/>
        <v>657</v>
      </c>
      <c r="U3" s="1" t="str">
        <f t="array" ref="U3">IF(OR(INDEX(Inventory!$D:$D, MATCH($B3, Inventory!$A:$A, 0))="backorder_only",E3 &gt; INDEX(Inventory!$B:$B, MATCH($B3, Inventory!$A:$A, 0))),"backorder","stock")</f>
        <v>backorder</v>
      </c>
      <c r="V3" s="1">
        <f t="array" ref="V3">INDEX(Moldings!$E:$E, MATCH($B3, Moldings!$A:$A, 0))</f>
        <v>12</v>
      </c>
      <c r="W3" s="1">
        <f t="array" ref="W3">INDEX(Moldings!$F:$F, MATCH($B3, Moldings!$A:$A, 0))</f>
        <v>3920</v>
      </c>
      <c r="X3" s="1">
        <f>ROUNDUP(E3 / V3, 0)</f>
        <v>25</v>
      </c>
      <c r="Y3" s="1">
        <f>ROUNDUP(X3 / W3, 0)</f>
        <v>1</v>
      </c>
      <c r="Z3" s="1" t="s">
        <v>110</v>
      </c>
      <c r="AA3" s="1" t="s">
        <v>145</v>
      </c>
      <c r="AB3" s="1" t="s">
        <v>144</v>
      </c>
      <c r="AC3" s="1" t="s">
        <v>145</v>
      </c>
      <c r="AD3" s="1">
        <f>ROUND(T3 * TaxRate, 2)</f>
        <v>45.99</v>
      </c>
      <c r="AE3" s="1">
        <f t="shared" si="6"/>
        <v>702.99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2025-11-20T11:36:57Z</dcterms:created>
  <dc:creator>openpyxl</dc:creator>
</cp:coreProperties>
</file>